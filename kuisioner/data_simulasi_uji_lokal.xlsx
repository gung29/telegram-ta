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AF9291-BB44-48A4-AD1F-4F01A06C77E5}" xr6:coauthVersionLast="47" xr6:coauthVersionMax="47" xr10:uidLastSave="{00000000-0000-0000-0000-000000000000}"/>
  <bookViews>
    <workbookView xWindow="-108" yWindow="-108" windowWidth="23256" windowHeight="12300" activeTab="1" xr2:uid="{00000000-000D-0000-FFFF-FFFF00000000}"/>
  </bookViews>
  <sheets>
    <sheet name="Petunjuk" sheetId="1" r:id="rId1"/>
    <sheet name="Data_Simulasi" sheetId="2" r:id="rId2"/>
    <sheet name="Rekap_Indikator" sheetId="3" r:id="rId3"/>
    <sheet name="Rekap_Konstru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D4" i="3" s="1"/>
  <c r="E4" i="3" s="1"/>
  <c r="C5" i="3"/>
  <c r="D5" i="3" s="1"/>
  <c r="E5" i="3" s="1"/>
  <c r="C6" i="3"/>
  <c r="C7" i="3"/>
  <c r="D7" i="3" s="1"/>
  <c r="E7" i="3" s="1"/>
  <c r="C8" i="3"/>
  <c r="D8" i="3" s="1"/>
  <c r="E8" i="3" s="1"/>
  <c r="C9" i="3"/>
  <c r="D9" i="3" s="1"/>
  <c r="E9" i="3" s="1"/>
  <c r="C10" i="3"/>
  <c r="D10" i="3" s="1"/>
  <c r="E10" i="3" s="1"/>
  <c r="C11" i="3"/>
  <c r="D11" i="3" s="1"/>
  <c r="E11" i="3" s="1"/>
  <c r="C12" i="3"/>
  <c r="D12" i="3" s="1"/>
  <c r="E12" i="3" s="1"/>
  <c r="C13" i="3"/>
  <c r="D13" i="3" s="1"/>
  <c r="E13" i="3" s="1"/>
  <c r="C14" i="3"/>
  <c r="D14" i="3" s="1"/>
  <c r="E14" i="3" s="1"/>
  <c r="B4" i="4"/>
  <c r="C4" i="4" s="1"/>
  <c r="B5" i="4"/>
  <c r="C5" i="4" s="1"/>
  <c r="B6" i="4"/>
  <c r="C6" i="4" s="1"/>
  <c r="B7" i="4"/>
  <c r="D6" i="3"/>
  <c r="E6" i="3" s="1"/>
  <c r="D3" i="3"/>
  <c r="E3" i="3" s="1"/>
  <c r="B13" i="4"/>
  <c r="C13" i="4" s="1"/>
  <c r="B12" i="4"/>
  <c r="C12" i="4" s="1"/>
  <c r="B11" i="4"/>
  <c r="C11" i="4" s="1"/>
  <c r="B10" i="4"/>
  <c r="C10" i="4" s="1"/>
  <c r="C7" i="4"/>
  <c r="D2" i="3"/>
  <c r="E2" i="3" s="1"/>
  <c r="V8" i="2"/>
  <c r="U8" i="2"/>
  <c r="T8" i="2"/>
  <c r="W8" i="2" s="1"/>
  <c r="X8" i="2" s="1"/>
  <c r="V25" i="2"/>
  <c r="U25" i="2"/>
  <c r="T25" i="2"/>
  <c r="V24" i="2"/>
  <c r="U24" i="2"/>
  <c r="T24" i="2"/>
  <c r="V23" i="2"/>
  <c r="U23" i="2"/>
  <c r="T23" i="2"/>
  <c r="V22" i="2"/>
  <c r="U22" i="2"/>
  <c r="T22" i="2"/>
  <c r="W22" i="2" s="1"/>
  <c r="X22" i="2" s="1"/>
  <c r="V21" i="2"/>
  <c r="U21" i="2"/>
  <c r="T21" i="2"/>
  <c r="V20" i="2"/>
  <c r="U20" i="2"/>
  <c r="T20" i="2"/>
  <c r="V19" i="2"/>
  <c r="U19" i="2"/>
  <c r="T19" i="2"/>
  <c r="V18" i="2"/>
  <c r="U18" i="2"/>
  <c r="T18" i="2"/>
  <c r="V17" i="2"/>
  <c r="U17" i="2"/>
  <c r="T17" i="2"/>
  <c r="V16" i="2"/>
  <c r="U16" i="2"/>
  <c r="T16" i="2"/>
  <c r="V15" i="2"/>
  <c r="U15" i="2"/>
  <c r="T15" i="2"/>
  <c r="W15" i="2" s="1"/>
  <c r="X15" i="2" s="1"/>
  <c r="V14" i="2"/>
  <c r="U14" i="2"/>
  <c r="T14" i="2"/>
  <c r="V13" i="2"/>
  <c r="U13" i="2"/>
  <c r="T13" i="2"/>
  <c r="V12" i="2"/>
  <c r="U12" i="2"/>
  <c r="T12" i="2"/>
  <c r="W12" i="2" s="1"/>
  <c r="X12" i="2" s="1"/>
  <c r="V11" i="2"/>
  <c r="U11" i="2"/>
  <c r="T11" i="2"/>
  <c r="V10" i="2"/>
  <c r="U10" i="2"/>
  <c r="T10" i="2"/>
  <c r="W10" i="2" s="1"/>
  <c r="X10" i="2" s="1"/>
  <c r="V9" i="2"/>
  <c r="U9" i="2"/>
  <c r="T9" i="2"/>
  <c r="V26" i="2"/>
  <c r="U26" i="2"/>
  <c r="T26" i="2"/>
  <c r="V7" i="2"/>
  <c r="U7" i="2"/>
  <c r="T7" i="2"/>
  <c r="V6" i="2"/>
  <c r="U6" i="2"/>
  <c r="T6" i="2"/>
  <c r="V5" i="2"/>
  <c r="U5" i="2"/>
  <c r="T5" i="2"/>
  <c r="V4" i="2"/>
  <c r="U4" i="2"/>
  <c r="T4" i="2"/>
  <c r="V3" i="2"/>
  <c r="U3" i="2"/>
  <c r="T3" i="2"/>
  <c r="W3" i="2" s="1"/>
  <c r="X3" i="2" s="1"/>
  <c r="V2" i="2"/>
  <c r="U2" i="2"/>
  <c r="T2" i="2"/>
  <c r="W17" i="2" l="1"/>
  <c r="X17" i="2" s="1"/>
  <c r="W26" i="2"/>
  <c r="X26" i="2" s="1"/>
  <c r="W24" i="2"/>
  <c r="X24" i="2" s="1"/>
  <c r="W14" i="2"/>
  <c r="X14" i="2" s="1"/>
  <c r="W4" i="2"/>
  <c r="X4" i="2" s="1"/>
  <c r="W20" i="2"/>
  <c r="X20" i="2" s="1"/>
  <c r="W19" i="2"/>
  <c r="X19" i="2" s="1"/>
  <c r="W5" i="2"/>
  <c r="X5" i="2" s="1"/>
  <c r="W21" i="2"/>
  <c r="X21" i="2" s="1"/>
  <c r="W18" i="2"/>
  <c r="X18" i="2" s="1"/>
  <c r="W11" i="2"/>
  <c r="X11" i="2" s="1"/>
  <c r="W9" i="2"/>
  <c r="X9" i="2" s="1"/>
  <c r="W16" i="2"/>
  <c r="X16" i="2" s="1"/>
  <c r="W13" i="2"/>
  <c r="X13" i="2" s="1"/>
  <c r="W7" i="2"/>
  <c r="X7" i="2" s="1"/>
  <c r="W25" i="2"/>
  <c r="X25" i="2" s="1"/>
  <c r="W6" i="2"/>
  <c r="X6" i="2" s="1"/>
  <c r="W2" i="2"/>
  <c r="X2" i="2" s="1"/>
  <c r="W23" i="2"/>
  <c r="X23" i="2" s="1"/>
</calcChain>
</file>

<file path=xl/sharedStrings.xml><?xml version="1.0" encoding="utf-8"?>
<sst xmlns="http://schemas.openxmlformats.org/spreadsheetml/2006/main" count="222" uniqueCount="99">
  <si>
    <t>SIMULASI DATA KUESIONER TAM - CHATBOT MODERASI TELEGRAM</t>
  </si>
  <si>
    <t>Catatan penting: workbook ini berisi DATA DUMMY/SIMULASI untuk latihan perhitungan dan penyusunan tabel Bab 4. Data pada workbook ini tidak boleh diklaim sebagai data hasil kuesioner asli.</t>
  </si>
  <si>
    <t>Konstruk</t>
  </si>
  <si>
    <t>Jumlah Indikator</t>
  </si>
  <si>
    <t>Perceived Usefulness (PU)</t>
  </si>
  <si>
    <t>Perceived Ease of Use (PEOU)</t>
  </si>
  <si>
    <t>User Acceptance (UA)</t>
  </si>
  <si>
    <t>Target responden simulasi</t>
  </si>
  <si>
    <t>Target kategori</t>
  </si>
  <si>
    <t>Sangat Setuju</t>
  </si>
  <si>
    <t>Rentang Nilai</t>
  </si>
  <si>
    <t>Kategori</t>
  </si>
  <si>
    <t>1,00 - 1,80</t>
  </si>
  <si>
    <t>Sangat Tidak Setuju</t>
  </si>
  <si>
    <t>1,81 - 2,60</t>
  </si>
  <si>
    <t>Tidak Setuju</t>
  </si>
  <si>
    <t>2,61 - 3,40</t>
  </si>
  <si>
    <t>Netral</t>
  </si>
  <si>
    <t>3,41 - 4,20</t>
  </si>
  <si>
    <t>Setuju</t>
  </si>
  <si>
    <t>4,21 - 5,00</t>
  </si>
  <si>
    <t>No</t>
  </si>
  <si>
    <t>Responden</t>
  </si>
  <si>
    <t>Grup</t>
  </si>
  <si>
    <t>Jenis Kelamin</t>
  </si>
  <si>
    <t>Usia</t>
  </si>
  <si>
    <t>Frekuensi Aktif</t>
  </si>
  <si>
    <t>PU1</t>
  </si>
  <si>
    <t>PU2</t>
  </si>
  <si>
    <t>PU3</t>
  </si>
  <si>
    <t>PU4</t>
  </si>
  <si>
    <t>PU5</t>
  </si>
  <si>
    <t>PEOU1</t>
  </si>
  <si>
    <t>PEOU2</t>
  </si>
  <si>
    <t>PEOU3</t>
  </si>
  <si>
    <t>PEOU4</t>
  </si>
  <si>
    <t>PEOU5</t>
  </si>
  <si>
    <t>UA1</t>
  </si>
  <si>
    <t>UA2</t>
  </si>
  <si>
    <t>UA3</t>
  </si>
  <si>
    <t>Rata-rata PU</t>
  </si>
  <si>
    <t>Rata-rata PEOU</t>
  </si>
  <si>
    <t>Rata-rata UA</t>
  </si>
  <si>
    <t>Rata-rata TAM</t>
  </si>
  <si>
    <t>Kategori TAM</t>
  </si>
  <si>
    <t>R01</t>
  </si>
  <si>
    <t>Grup 1</t>
  </si>
  <si>
    <t>Laki-laki</t>
  </si>
  <si>
    <t>20-25 tahun</t>
  </si>
  <si>
    <t>Cukup sering</t>
  </si>
  <si>
    <t>R02</t>
  </si>
  <si>
    <t>Sangat sering</t>
  </si>
  <si>
    <t>R03</t>
  </si>
  <si>
    <t>Sering</t>
  </si>
  <si>
    <t>R04</t>
  </si>
  <si>
    <t>R05</t>
  </si>
  <si>
    <t>R06</t>
  </si>
  <si>
    <t>Grup 2</t>
  </si>
  <si>
    <t>R07</t>
  </si>
  <si>
    <t>R08</t>
  </si>
  <si>
    <t>R09</t>
  </si>
  <si>
    <t>R10</t>
  </si>
  <si>
    <t>R11</t>
  </si>
  <si>
    <t>Grup 3</t>
  </si>
  <si>
    <t>R12</t>
  </si>
  <si>
    <t>R13</t>
  </si>
  <si>
    <t>R14</t>
  </si>
  <si>
    <t>R15</t>
  </si>
  <si>
    <t>R16</t>
  </si>
  <si>
    <t>Grup 4</t>
  </si>
  <si>
    <t>R17</t>
  </si>
  <si>
    <t>R18</t>
  </si>
  <si>
    <t>R19</t>
  </si>
  <si>
    <t>R20</t>
  </si>
  <si>
    <t>R21</t>
  </si>
  <si>
    <t>Grup 5</t>
  </si>
  <si>
    <t>R22</t>
  </si>
  <si>
    <t>R23</t>
  </si>
  <si>
    <t>R24</t>
  </si>
  <si>
    <t>R25</t>
  </si>
  <si>
    <t>Perempuan</t>
  </si>
  <si>
    <t>Kode</t>
  </si>
  <si>
    <t>Total Skor</t>
  </si>
  <si>
    <t>Rata-rata</t>
  </si>
  <si>
    <t>PU</t>
  </si>
  <si>
    <t>PEOU</t>
  </si>
  <si>
    <t>UA</t>
  </si>
  <si>
    <t>REKAPITULASI HASIL SIMULASI KUESIONER TAM</t>
  </si>
  <si>
    <t>Ringkasan Responden</t>
  </si>
  <si>
    <t>Jumlah</t>
  </si>
  <si>
    <t>Persentase</t>
  </si>
  <si>
    <t>Usia 20-25 tahun</t>
  </si>
  <si>
    <t>Total Responden</t>
  </si>
  <si>
    <t>Keterangan</t>
  </si>
  <si>
    <t>Manfaat sistem moderasi</t>
  </si>
  <si>
    <t>Kemudahan sistem</t>
  </si>
  <si>
    <t>Penerimaan sistem</t>
  </si>
  <si>
    <t>Rata-rata Keseluruhan TAM</t>
  </si>
  <si>
    <t>Kesimpulan simulasi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</si>
</sst>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Rata-rata Konstruk TAM (Simulasi)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Rekap_Konstruk!$A$10:$A$12</c:f>
              <c:strCache>
                <c:ptCount val="3"/>
                <c:pt idx="0">
                  <c:v>Perceived Usefulness (PU)</c:v>
                </c:pt>
                <c:pt idx="1">
                  <c:v>Perceived Ease of Use (PEOU)</c:v>
                </c:pt>
                <c:pt idx="2">
                  <c:v>User Acceptance (UA)</c:v>
                </c:pt>
              </c:strCache>
            </c:strRef>
          </c:cat>
          <c:val>
            <c:numRef>
              <c:f>Rekap_Konstruk!$B$10:$B$12</c:f>
              <c:numCache>
                <c:formatCode>0.00</c:formatCode>
                <c:ptCount val="3"/>
                <c:pt idx="0">
                  <c:v>4.4399999999999897</c:v>
                </c:pt>
                <c:pt idx="1">
                  <c:v>4.4480000000000004</c:v>
                </c:pt>
                <c:pt idx="2">
                  <c:v>4.5599999999999996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B-42D9-97F7-A349B7B1B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DataSimulasi" displayName="TabelDataSimulasi" ref="A1:X27">
  <tableColumns count="24">
    <tableColumn id="1" xr3:uid="{00000000-0010-0000-0000-000001000000}" name="No"/>
    <tableColumn id="2" xr3:uid="{00000000-0010-0000-0000-000002000000}" name="Responden"/>
    <tableColumn id="3" xr3:uid="{00000000-0010-0000-0000-000003000000}" name="Grup"/>
    <tableColumn id="4" xr3:uid="{00000000-0010-0000-0000-000004000000}" name="Jenis Kelamin"/>
    <tableColumn id="5" xr3:uid="{00000000-0010-0000-0000-000005000000}" name="Usia"/>
    <tableColumn id="6" xr3:uid="{00000000-0010-0000-0000-000006000000}" name="Frekuensi Aktif"/>
    <tableColumn id="7" xr3:uid="{00000000-0010-0000-0000-000007000000}" name="PU1"/>
    <tableColumn id="8" xr3:uid="{00000000-0010-0000-0000-000008000000}" name="PU2"/>
    <tableColumn id="9" xr3:uid="{00000000-0010-0000-0000-000009000000}" name="PU3"/>
    <tableColumn id="10" xr3:uid="{00000000-0010-0000-0000-00000A000000}" name="PU4"/>
    <tableColumn id="11" xr3:uid="{00000000-0010-0000-0000-00000B000000}" name="PU5"/>
    <tableColumn id="12" xr3:uid="{00000000-0010-0000-0000-00000C000000}" name="PEOU1"/>
    <tableColumn id="13" xr3:uid="{00000000-0010-0000-0000-00000D000000}" name="PEOU2"/>
    <tableColumn id="14" xr3:uid="{00000000-0010-0000-0000-00000E000000}" name="PEOU3"/>
    <tableColumn id="15" xr3:uid="{00000000-0010-0000-0000-00000F000000}" name="PEOU4"/>
    <tableColumn id="16" xr3:uid="{00000000-0010-0000-0000-000010000000}" name="PEOU5"/>
    <tableColumn id="17" xr3:uid="{00000000-0010-0000-0000-000011000000}" name="UA1"/>
    <tableColumn id="18" xr3:uid="{00000000-0010-0000-0000-000012000000}" name="UA2"/>
    <tableColumn id="19" xr3:uid="{00000000-0010-0000-0000-000013000000}" name="UA3"/>
    <tableColumn id="20" xr3:uid="{00000000-0010-0000-0000-000014000000}" name="Rata-rata PU"/>
    <tableColumn id="21" xr3:uid="{00000000-0010-0000-0000-000015000000}" name="Rata-rata PEOU"/>
    <tableColumn id="22" xr3:uid="{00000000-0010-0000-0000-000016000000}" name="Rata-rata UA"/>
    <tableColumn id="23" xr3:uid="{00000000-0010-0000-0000-000017000000}" name="Rata-rata TAM"/>
    <tableColumn id="24" xr3:uid="{00000000-0010-0000-0000-000018000000}" name="Kategori T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RekapIndikator" displayName="TabelRekapIndikator" ref="A1:E14">
  <tableColumns count="5">
    <tableColumn id="1" xr3:uid="{00000000-0010-0000-0100-000001000000}" name="Konstruk"/>
    <tableColumn id="2" xr3:uid="{00000000-0010-0000-0100-000002000000}" name="Kode"/>
    <tableColumn id="3" xr3:uid="{00000000-0010-0000-0100-000003000000}" name="Total Skor"/>
    <tableColumn id="4" xr3:uid="{00000000-0010-0000-0100-000004000000}" name="Rata-rata"/>
    <tableColumn id="5" xr3:uid="{00000000-0010-0000-0100-000005000000}" name="Katego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/>
  </sheetViews>
  <sheetFormatPr defaultRowHeight="13.8"/>
  <cols>
    <col min="1" max="8" width="18" customWidth="1"/>
  </cols>
  <sheetData>
    <row r="1" spans="1:8" ht="17.399999999999999">
      <c r="A1" s="6" t="s">
        <v>0</v>
      </c>
      <c r="B1" s="6"/>
      <c r="C1" s="6"/>
      <c r="D1" s="6"/>
      <c r="E1" s="6"/>
      <c r="F1" s="6"/>
      <c r="G1" s="6"/>
      <c r="H1" s="6"/>
    </row>
    <row r="3" spans="1:8" ht="43.95" customHeight="1">
      <c r="A3" s="7" t="s">
        <v>1</v>
      </c>
      <c r="B3" s="7"/>
      <c r="C3" s="7"/>
      <c r="D3" s="7"/>
      <c r="E3" s="7"/>
      <c r="F3" s="7"/>
      <c r="G3" s="7"/>
      <c r="H3" s="7"/>
    </row>
    <row r="4" spans="1:8" ht="43.95" customHeight="1">
      <c r="A4" s="7"/>
      <c r="B4" s="7"/>
      <c r="C4" s="7"/>
      <c r="D4" s="7"/>
      <c r="E4" s="7"/>
      <c r="F4" s="7"/>
      <c r="G4" s="7"/>
      <c r="H4" s="7"/>
    </row>
    <row r="5" spans="1:8" ht="43.95" customHeight="1">
      <c r="A5" s="7"/>
      <c r="B5" s="7"/>
      <c r="C5" s="7"/>
      <c r="D5" s="7"/>
      <c r="E5" s="7"/>
      <c r="F5" s="7"/>
      <c r="G5" s="7"/>
      <c r="H5" s="7"/>
    </row>
    <row r="7" spans="1:8">
      <c r="A7" s="1" t="s">
        <v>2</v>
      </c>
      <c r="B7" s="1" t="s">
        <v>3</v>
      </c>
    </row>
    <row r="8" spans="1:8">
      <c r="A8" t="s">
        <v>4</v>
      </c>
      <c r="B8">
        <v>5</v>
      </c>
    </row>
    <row r="9" spans="1:8">
      <c r="A9" t="s">
        <v>5</v>
      </c>
      <c r="B9">
        <v>5</v>
      </c>
    </row>
    <row r="10" spans="1:8">
      <c r="A10" t="s">
        <v>6</v>
      </c>
      <c r="B10">
        <v>3</v>
      </c>
    </row>
    <row r="12" spans="1:8">
      <c r="A12" t="s">
        <v>7</v>
      </c>
      <c r="B12">
        <v>25</v>
      </c>
    </row>
    <row r="13" spans="1:8">
      <c r="A13" t="s">
        <v>8</v>
      </c>
      <c r="B13" t="s">
        <v>9</v>
      </c>
    </row>
    <row r="15" spans="1:8">
      <c r="A15" s="1" t="s">
        <v>10</v>
      </c>
      <c r="B15" s="1" t="s">
        <v>11</v>
      </c>
    </row>
    <row r="16" spans="1:8">
      <c r="A16" t="s">
        <v>12</v>
      </c>
      <c r="B16" t="s">
        <v>13</v>
      </c>
    </row>
    <row r="17" spans="1:2">
      <c r="A17" t="s">
        <v>14</v>
      </c>
      <c r="B17" t="s">
        <v>15</v>
      </c>
    </row>
    <row r="18" spans="1:2">
      <c r="A18" t="s">
        <v>16</v>
      </c>
      <c r="B18" t="s">
        <v>17</v>
      </c>
    </row>
    <row r="19" spans="1:2">
      <c r="A19" t="s">
        <v>18</v>
      </c>
      <c r="B19" t="s">
        <v>19</v>
      </c>
    </row>
    <row r="20" spans="1:2">
      <c r="A20" t="s">
        <v>20</v>
      </c>
      <c r="B20" t="s">
        <v>9</v>
      </c>
    </row>
  </sheetData>
  <mergeCells count="2">
    <mergeCell ref="A1:H1"/>
    <mergeCell ref="A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"/>
  <sheetViews>
    <sheetView tabSelected="1" workbookViewId="0">
      <selection activeCell="G18" sqref="G18"/>
    </sheetView>
  </sheetViews>
  <sheetFormatPr defaultRowHeight="13.8"/>
  <cols>
    <col min="1" max="1" width="6" customWidth="1"/>
    <col min="2" max="2" width="12" customWidth="1"/>
    <col min="3" max="6" width="16" customWidth="1"/>
    <col min="7" max="19" width="8" customWidth="1"/>
    <col min="20" max="23" width="14" customWidth="1"/>
    <col min="24" max="24" width="18" customWidth="1"/>
  </cols>
  <sheetData>
    <row r="1" spans="1:24" ht="27.6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</row>
    <row r="2" spans="1:24">
      <c r="A2" s="2">
        <v>1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>
        <v>4</v>
      </c>
      <c r="H2" s="2">
        <v>4</v>
      </c>
      <c r="I2" s="2">
        <v>4</v>
      </c>
      <c r="J2" s="2">
        <v>4</v>
      </c>
      <c r="K2" s="2">
        <v>5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3">
        <f t="shared" ref="T2:T25" si="0">AVERAGE(G2:K2)</f>
        <v>4.2</v>
      </c>
      <c r="U2" s="3">
        <f t="shared" ref="U2:U25" si="1">AVERAGE(L2:P2)</f>
        <v>4</v>
      </c>
      <c r="V2" s="3">
        <f t="shared" ref="V2:V25" si="2">AVERAGE(Q2:S2)</f>
        <v>4</v>
      </c>
      <c r="W2" s="3">
        <f t="shared" ref="W2:W25" si="3">AVERAGE(T2:V2)</f>
        <v>4.0666666666666664</v>
      </c>
      <c r="X2" s="2" t="str">
        <f t="shared" ref="X2:X25" si="4">IF(W2&gt;=4.21,"Sangat Setuju",IF(W2&gt;=3.41,"Setuju",IF(W2&gt;=2.61,"Netral",IF(W2&gt;=1.81,"Tidak Setuju","Sangat Tidak Setuju"))))</f>
        <v>Setuju</v>
      </c>
    </row>
    <row r="3" spans="1:24">
      <c r="A3" s="2">
        <v>2</v>
      </c>
      <c r="B3" s="2" t="s">
        <v>50</v>
      </c>
      <c r="C3" s="2" t="s">
        <v>46</v>
      </c>
      <c r="D3" s="2" t="s">
        <v>47</v>
      </c>
      <c r="E3" s="2" t="s">
        <v>48</v>
      </c>
      <c r="F3" s="2" t="s">
        <v>51</v>
      </c>
      <c r="G3" s="2">
        <v>5</v>
      </c>
      <c r="H3" s="2">
        <v>5</v>
      </c>
      <c r="I3" s="2">
        <v>4</v>
      </c>
      <c r="J3" s="2">
        <v>4</v>
      </c>
      <c r="K3" s="2">
        <v>5</v>
      </c>
      <c r="L3" s="2">
        <v>5</v>
      </c>
      <c r="M3" s="2">
        <v>5</v>
      </c>
      <c r="N3" s="2">
        <v>5</v>
      </c>
      <c r="O3" s="2">
        <v>4</v>
      </c>
      <c r="P3" s="2">
        <v>5</v>
      </c>
      <c r="Q3" s="2">
        <v>5</v>
      </c>
      <c r="R3" s="2">
        <v>5</v>
      </c>
      <c r="S3" s="2">
        <v>5</v>
      </c>
      <c r="T3" s="3">
        <f t="shared" si="0"/>
        <v>4.5999999999999996</v>
      </c>
      <c r="U3" s="3">
        <f t="shared" si="1"/>
        <v>4.8</v>
      </c>
      <c r="V3" s="3">
        <f t="shared" si="2"/>
        <v>5</v>
      </c>
      <c r="W3" s="3">
        <f t="shared" si="3"/>
        <v>4.8</v>
      </c>
      <c r="X3" s="2" t="str">
        <f t="shared" si="4"/>
        <v>Sangat Setuju</v>
      </c>
    </row>
    <row r="4" spans="1:24">
      <c r="A4" s="2">
        <v>3</v>
      </c>
      <c r="B4" s="2" t="s">
        <v>52</v>
      </c>
      <c r="C4" s="2" t="s">
        <v>46</v>
      </c>
      <c r="D4" s="2" t="s">
        <v>47</v>
      </c>
      <c r="E4" s="2" t="s">
        <v>48</v>
      </c>
      <c r="F4" s="2" t="s">
        <v>53</v>
      </c>
      <c r="G4" s="2">
        <v>4</v>
      </c>
      <c r="H4" s="2">
        <v>5</v>
      </c>
      <c r="I4" s="2">
        <v>4</v>
      </c>
      <c r="J4" s="2">
        <v>5</v>
      </c>
      <c r="K4" s="2">
        <v>5</v>
      </c>
      <c r="L4" s="2">
        <v>4</v>
      </c>
      <c r="M4" s="2">
        <v>5</v>
      </c>
      <c r="N4" s="2">
        <v>4</v>
      </c>
      <c r="O4" s="2">
        <v>5</v>
      </c>
      <c r="P4" s="2">
        <v>4</v>
      </c>
      <c r="Q4" s="2">
        <v>5</v>
      </c>
      <c r="R4" s="2">
        <v>5</v>
      </c>
      <c r="S4" s="2">
        <v>5</v>
      </c>
      <c r="T4" s="3">
        <f t="shared" si="0"/>
        <v>4.5999999999999996</v>
      </c>
      <c r="U4" s="3">
        <f t="shared" si="1"/>
        <v>4.4000000000000004</v>
      </c>
      <c r="V4" s="3">
        <f t="shared" si="2"/>
        <v>5</v>
      </c>
      <c r="W4" s="3">
        <f t="shared" si="3"/>
        <v>4.666666666666667</v>
      </c>
      <c r="X4" s="2" t="str">
        <f t="shared" si="4"/>
        <v>Sangat Setuju</v>
      </c>
    </row>
    <row r="5" spans="1:24">
      <c r="A5" s="2">
        <v>4</v>
      </c>
      <c r="B5" s="2" t="s">
        <v>54</v>
      </c>
      <c r="C5" s="2" t="s">
        <v>46</v>
      </c>
      <c r="D5" s="2" t="s">
        <v>47</v>
      </c>
      <c r="E5" s="2" t="s">
        <v>48</v>
      </c>
      <c r="F5" s="2" t="s">
        <v>49</v>
      </c>
      <c r="G5" s="2">
        <v>4</v>
      </c>
      <c r="H5" s="2">
        <v>5</v>
      </c>
      <c r="I5" s="2">
        <v>5</v>
      </c>
      <c r="J5" s="2">
        <v>4</v>
      </c>
      <c r="K5" s="2">
        <v>5</v>
      </c>
      <c r="L5" s="2">
        <v>5</v>
      </c>
      <c r="M5" s="2">
        <v>5</v>
      </c>
      <c r="N5" s="2">
        <v>4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3">
        <f t="shared" si="0"/>
        <v>4.5999999999999996</v>
      </c>
      <c r="U5" s="3">
        <f t="shared" si="1"/>
        <v>4.8</v>
      </c>
      <c r="V5" s="3">
        <f t="shared" si="2"/>
        <v>5</v>
      </c>
      <c r="W5" s="3">
        <f t="shared" si="3"/>
        <v>4.8</v>
      </c>
      <c r="X5" s="2" t="str">
        <f t="shared" si="4"/>
        <v>Sangat Setuju</v>
      </c>
    </row>
    <row r="6" spans="1:24">
      <c r="A6" s="2">
        <v>5</v>
      </c>
      <c r="B6" s="2" t="s">
        <v>55</v>
      </c>
      <c r="C6" s="2" t="s">
        <v>46</v>
      </c>
      <c r="D6" s="2" t="s">
        <v>47</v>
      </c>
      <c r="E6" s="2" t="s">
        <v>48</v>
      </c>
      <c r="F6" s="2" t="s">
        <v>53</v>
      </c>
      <c r="G6" s="2">
        <v>3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4</v>
      </c>
      <c r="S6" s="2">
        <v>4</v>
      </c>
      <c r="T6" s="3">
        <f t="shared" si="0"/>
        <v>3.8</v>
      </c>
      <c r="U6" s="3">
        <f t="shared" si="1"/>
        <v>4.8</v>
      </c>
      <c r="V6" s="3">
        <f t="shared" si="2"/>
        <v>4.333333333333333</v>
      </c>
      <c r="W6" s="3">
        <f t="shared" si="3"/>
        <v>4.3111111111111109</v>
      </c>
      <c r="X6" s="2" t="str">
        <f t="shared" si="4"/>
        <v>Sangat Setuju</v>
      </c>
    </row>
    <row r="7" spans="1:24">
      <c r="A7" s="2">
        <v>6</v>
      </c>
      <c r="B7" s="2" t="s">
        <v>56</v>
      </c>
      <c r="C7" s="2" t="s">
        <v>57</v>
      </c>
      <c r="D7" s="2" t="s">
        <v>47</v>
      </c>
      <c r="E7" s="2" t="s">
        <v>48</v>
      </c>
      <c r="F7" s="2" t="s">
        <v>53</v>
      </c>
      <c r="G7" s="2">
        <v>4</v>
      </c>
      <c r="H7" s="2">
        <v>4</v>
      </c>
      <c r="I7" s="2">
        <v>4</v>
      </c>
      <c r="J7" s="2">
        <v>5</v>
      </c>
      <c r="K7" s="2">
        <v>5</v>
      </c>
      <c r="L7" s="2">
        <v>4</v>
      </c>
      <c r="M7" s="2">
        <v>4</v>
      </c>
      <c r="N7" s="2">
        <v>4</v>
      </c>
      <c r="O7" s="2">
        <v>5</v>
      </c>
      <c r="P7" s="2">
        <v>4</v>
      </c>
      <c r="Q7" s="2">
        <v>5</v>
      </c>
      <c r="R7" s="2">
        <v>3</v>
      </c>
      <c r="S7" s="2">
        <v>5</v>
      </c>
      <c r="T7" s="3">
        <f t="shared" si="0"/>
        <v>4.4000000000000004</v>
      </c>
      <c r="U7" s="3">
        <f t="shared" si="1"/>
        <v>4.2</v>
      </c>
      <c r="V7" s="3">
        <f t="shared" si="2"/>
        <v>4.333333333333333</v>
      </c>
      <c r="W7" s="3">
        <f t="shared" si="3"/>
        <v>4.3111111111111109</v>
      </c>
      <c r="X7" s="2" t="str">
        <f t="shared" si="4"/>
        <v>Sangat Setuju</v>
      </c>
    </row>
    <row r="8" spans="1:24">
      <c r="A8" s="2">
        <v>7</v>
      </c>
      <c r="B8" s="2" t="s">
        <v>79</v>
      </c>
      <c r="C8" s="2" t="s">
        <v>75</v>
      </c>
      <c r="D8" s="2" t="s">
        <v>80</v>
      </c>
      <c r="E8" s="2" t="s">
        <v>48</v>
      </c>
      <c r="F8" s="2" t="s">
        <v>49</v>
      </c>
      <c r="G8" s="2">
        <v>5</v>
      </c>
      <c r="H8" s="2">
        <v>5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5</v>
      </c>
      <c r="O8" s="2">
        <v>4</v>
      </c>
      <c r="P8" s="2">
        <v>5</v>
      </c>
      <c r="Q8" s="2">
        <v>4</v>
      </c>
      <c r="R8" s="2">
        <v>5</v>
      </c>
      <c r="S8" s="2">
        <v>5</v>
      </c>
      <c r="T8" s="3">
        <f>AVERAGE(G8:K8)</f>
        <v>4.8</v>
      </c>
      <c r="U8" s="3">
        <f>AVERAGE(L8:P8)</f>
        <v>4.5999999999999996</v>
      </c>
      <c r="V8" s="3">
        <f>AVERAGE(Q8:S8)</f>
        <v>4.666666666666667</v>
      </c>
      <c r="W8" s="3">
        <f>AVERAGE(T8:V8)</f>
        <v>4.6888888888888891</v>
      </c>
      <c r="X8" s="2" t="str">
        <f>IF(W8&gt;=4.21,"Sangat Setuju",IF(W8&gt;=3.41,"Setuju",IF(W8&gt;=2.61,"Netral",IF(W8&gt;=1.81,"Tidak Setuju","Sangat Tidak Setuju"))))</f>
        <v>Sangat Setuju</v>
      </c>
    </row>
    <row r="9" spans="1:24">
      <c r="A9" s="2">
        <v>8</v>
      </c>
      <c r="B9" s="2" t="s">
        <v>59</v>
      </c>
      <c r="C9" s="2" t="s">
        <v>57</v>
      </c>
      <c r="D9" s="2" t="s">
        <v>47</v>
      </c>
      <c r="E9" s="2" t="s">
        <v>48</v>
      </c>
      <c r="F9" s="2" t="s">
        <v>51</v>
      </c>
      <c r="G9" s="2">
        <v>4</v>
      </c>
      <c r="H9" s="2">
        <v>5</v>
      </c>
      <c r="I9" s="2">
        <v>5</v>
      </c>
      <c r="J9" s="2">
        <v>5</v>
      </c>
      <c r="K9" s="2">
        <v>5</v>
      </c>
      <c r="L9" s="2">
        <v>4</v>
      </c>
      <c r="M9" s="2">
        <v>4</v>
      </c>
      <c r="N9" s="2">
        <v>3</v>
      </c>
      <c r="O9" s="2">
        <v>4</v>
      </c>
      <c r="P9" s="2">
        <v>4</v>
      </c>
      <c r="Q9" s="2">
        <v>5</v>
      </c>
      <c r="R9" s="2">
        <v>4</v>
      </c>
      <c r="S9" s="2">
        <v>4</v>
      </c>
      <c r="T9" s="3">
        <f t="shared" si="0"/>
        <v>4.8</v>
      </c>
      <c r="U9" s="3">
        <f t="shared" si="1"/>
        <v>3.8</v>
      </c>
      <c r="V9" s="3">
        <f t="shared" si="2"/>
        <v>4.333333333333333</v>
      </c>
      <c r="W9" s="3">
        <f t="shared" si="3"/>
        <v>4.3111111111111109</v>
      </c>
      <c r="X9" s="2" t="str">
        <f t="shared" si="4"/>
        <v>Sangat Setuju</v>
      </c>
    </row>
    <row r="10" spans="1:24">
      <c r="A10" s="2">
        <v>9</v>
      </c>
      <c r="B10" s="2" t="s">
        <v>60</v>
      </c>
      <c r="C10" s="2" t="s">
        <v>57</v>
      </c>
      <c r="D10" s="2" t="s">
        <v>47</v>
      </c>
      <c r="E10" s="2" t="s">
        <v>48</v>
      </c>
      <c r="F10" s="2" t="s">
        <v>51</v>
      </c>
      <c r="G10" s="2">
        <v>5</v>
      </c>
      <c r="H10" s="2">
        <v>4</v>
      </c>
      <c r="I10" s="2">
        <v>4</v>
      </c>
      <c r="J10" s="2">
        <v>4</v>
      </c>
      <c r="K10" s="2">
        <v>4</v>
      </c>
      <c r="L10" s="2">
        <v>5</v>
      </c>
      <c r="M10" s="2">
        <v>5</v>
      </c>
      <c r="N10" s="2">
        <v>5</v>
      </c>
      <c r="O10" s="2">
        <v>4</v>
      </c>
      <c r="P10" s="2">
        <v>4</v>
      </c>
      <c r="Q10" s="2">
        <v>4</v>
      </c>
      <c r="R10" s="2">
        <v>5</v>
      </c>
      <c r="S10" s="2">
        <v>5</v>
      </c>
      <c r="T10" s="3">
        <f t="shared" si="0"/>
        <v>4.2</v>
      </c>
      <c r="U10" s="3">
        <f t="shared" si="1"/>
        <v>4.5999999999999996</v>
      </c>
      <c r="V10" s="3">
        <f t="shared" si="2"/>
        <v>4.666666666666667</v>
      </c>
      <c r="W10" s="3">
        <f t="shared" si="3"/>
        <v>4.4888888888888898</v>
      </c>
      <c r="X10" s="2" t="str">
        <f t="shared" si="4"/>
        <v>Sangat Setuju</v>
      </c>
    </row>
    <row r="11" spans="1:24">
      <c r="A11" s="2">
        <v>10</v>
      </c>
      <c r="B11" s="2" t="s">
        <v>61</v>
      </c>
      <c r="C11" s="2" t="s">
        <v>57</v>
      </c>
      <c r="D11" s="2" t="s">
        <v>47</v>
      </c>
      <c r="E11" s="2" t="s">
        <v>48</v>
      </c>
      <c r="F11" s="2" t="s">
        <v>51</v>
      </c>
      <c r="G11" s="2">
        <v>5</v>
      </c>
      <c r="H11" s="2">
        <v>5</v>
      </c>
      <c r="I11" s="2">
        <v>5</v>
      </c>
      <c r="J11" s="2">
        <v>4</v>
      </c>
      <c r="K11" s="2">
        <v>4</v>
      </c>
      <c r="L11" s="2">
        <v>5</v>
      </c>
      <c r="M11" s="2">
        <v>5</v>
      </c>
      <c r="N11" s="2">
        <v>5</v>
      </c>
      <c r="O11" s="2">
        <v>5</v>
      </c>
      <c r="P11" s="2">
        <v>4</v>
      </c>
      <c r="Q11" s="2">
        <v>5</v>
      </c>
      <c r="R11" s="2">
        <v>5</v>
      </c>
      <c r="S11" s="2">
        <v>5</v>
      </c>
      <c r="T11" s="3">
        <f t="shared" si="0"/>
        <v>4.5999999999999996</v>
      </c>
      <c r="U11" s="3">
        <f t="shared" si="1"/>
        <v>4.8</v>
      </c>
      <c r="V11" s="3">
        <f t="shared" si="2"/>
        <v>5</v>
      </c>
      <c r="W11" s="3">
        <f t="shared" si="3"/>
        <v>4.8</v>
      </c>
      <c r="X11" s="2" t="str">
        <f t="shared" si="4"/>
        <v>Sangat Setuju</v>
      </c>
    </row>
    <row r="12" spans="1:24">
      <c r="A12" s="2">
        <v>11</v>
      </c>
      <c r="B12" s="2" t="s">
        <v>62</v>
      </c>
      <c r="C12" s="2" t="s">
        <v>63</v>
      </c>
      <c r="D12" s="2" t="s">
        <v>47</v>
      </c>
      <c r="E12" s="2" t="s">
        <v>48</v>
      </c>
      <c r="F12" s="2" t="s">
        <v>53</v>
      </c>
      <c r="G12" s="2">
        <v>5</v>
      </c>
      <c r="H12" s="2">
        <v>4</v>
      </c>
      <c r="I12" s="2">
        <v>5</v>
      </c>
      <c r="J12" s="2">
        <v>4</v>
      </c>
      <c r="K12" s="2">
        <v>4</v>
      </c>
      <c r="L12" s="2">
        <v>5</v>
      </c>
      <c r="M12" s="2">
        <v>5</v>
      </c>
      <c r="N12" s="2">
        <v>5</v>
      </c>
      <c r="O12" s="2">
        <v>4</v>
      </c>
      <c r="P12" s="2">
        <v>4</v>
      </c>
      <c r="Q12" s="2">
        <v>5</v>
      </c>
      <c r="R12" s="2">
        <v>4</v>
      </c>
      <c r="S12" s="2">
        <v>5</v>
      </c>
      <c r="T12" s="3">
        <f t="shared" si="0"/>
        <v>4.4000000000000004</v>
      </c>
      <c r="U12" s="3">
        <f t="shared" si="1"/>
        <v>4.5999999999999996</v>
      </c>
      <c r="V12" s="3">
        <f t="shared" si="2"/>
        <v>4.666666666666667</v>
      </c>
      <c r="W12" s="3">
        <f t="shared" si="3"/>
        <v>4.5555555555555562</v>
      </c>
      <c r="X12" s="2" t="str">
        <f t="shared" si="4"/>
        <v>Sangat Setuju</v>
      </c>
    </row>
    <row r="13" spans="1:24">
      <c r="A13" s="2">
        <v>12</v>
      </c>
      <c r="B13" s="2" t="s">
        <v>64</v>
      </c>
      <c r="C13" s="2" t="s">
        <v>63</v>
      </c>
      <c r="D13" s="2" t="s">
        <v>47</v>
      </c>
      <c r="E13" s="2" t="s">
        <v>48</v>
      </c>
      <c r="F13" s="2" t="s">
        <v>49</v>
      </c>
      <c r="G13" s="2">
        <v>4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4</v>
      </c>
      <c r="N13" s="2">
        <v>5</v>
      </c>
      <c r="O13" s="2">
        <v>5</v>
      </c>
      <c r="P13" s="2">
        <v>4</v>
      </c>
      <c r="Q13" s="2">
        <v>4</v>
      </c>
      <c r="R13" s="2">
        <v>5</v>
      </c>
      <c r="S13" s="2">
        <v>5</v>
      </c>
      <c r="T13" s="3">
        <f t="shared" si="0"/>
        <v>4.8</v>
      </c>
      <c r="U13" s="3">
        <f t="shared" si="1"/>
        <v>4.5999999999999996</v>
      </c>
      <c r="V13" s="3">
        <f t="shared" si="2"/>
        <v>4.666666666666667</v>
      </c>
      <c r="W13" s="3">
        <f t="shared" si="3"/>
        <v>4.6888888888888891</v>
      </c>
      <c r="X13" s="2" t="str">
        <f t="shared" si="4"/>
        <v>Sangat Setuju</v>
      </c>
    </row>
    <row r="14" spans="1:24">
      <c r="A14" s="2">
        <v>13</v>
      </c>
      <c r="B14" s="2" t="s">
        <v>65</v>
      </c>
      <c r="C14" s="2" t="s">
        <v>63</v>
      </c>
      <c r="D14" s="2" t="s">
        <v>47</v>
      </c>
      <c r="E14" s="2" t="s">
        <v>48</v>
      </c>
      <c r="F14" s="2" t="s">
        <v>53</v>
      </c>
      <c r="G14" s="2">
        <v>5</v>
      </c>
      <c r="H14" s="2">
        <v>4</v>
      </c>
      <c r="I14" s="2">
        <v>5</v>
      </c>
      <c r="J14" s="2">
        <v>4</v>
      </c>
      <c r="K14" s="2">
        <v>4</v>
      </c>
      <c r="L14" s="2">
        <v>5</v>
      </c>
      <c r="M14" s="2">
        <v>4</v>
      </c>
      <c r="N14" s="2">
        <v>4</v>
      </c>
      <c r="O14" s="2">
        <v>5</v>
      </c>
      <c r="P14" s="2">
        <v>5</v>
      </c>
      <c r="Q14" s="2">
        <v>4</v>
      </c>
      <c r="R14" s="2">
        <v>5</v>
      </c>
      <c r="S14" s="2">
        <v>5</v>
      </c>
      <c r="T14" s="3">
        <f t="shared" si="0"/>
        <v>4.4000000000000004</v>
      </c>
      <c r="U14" s="3">
        <f t="shared" si="1"/>
        <v>4.5999999999999996</v>
      </c>
      <c r="V14" s="3">
        <f t="shared" si="2"/>
        <v>4.666666666666667</v>
      </c>
      <c r="W14" s="3">
        <f t="shared" si="3"/>
        <v>4.5555555555555562</v>
      </c>
      <c r="X14" s="2" t="str">
        <f t="shared" si="4"/>
        <v>Sangat Setuju</v>
      </c>
    </row>
    <row r="15" spans="1:24">
      <c r="A15" s="2">
        <v>14</v>
      </c>
      <c r="B15" s="2" t="s">
        <v>66</v>
      </c>
      <c r="C15" s="2" t="s">
        <v>63</v>
      </c>
      <c r="D15" s="2" t="s">
        <v>47</v>
      </c>
      <c r="E15" s="2" t="s">
        <v>48</v>
      </c>
      <c r="F15" s="2" t="s">
        <v>53</v>
      </c>
      <c r="G15" s="2">
        <v>4</v>
      </c>
      <c r="H15" s="2">
        <v>5</v>
      </c>
      <c r="I15" s="2">
        <v>4</v>
      </c>
      <c r="J15" s="2">
        <v>4</v>
      </c>
      <c r="K15" s="2">
        <v>5</v>
      </c>
      <c r="L15" s="2">
        <v>3</v>
      </c>
      <c r="M15" s="2">
        <v>4</v>
      </c>
      <c r="N15" s="2">
        <v>3</v>
      </c>
      <c r="O15" s="2">
        <v>4</v>
      </c>
      <c r="P15" s="2">
        <v>4</v>
      </c>
      <c r="Q15" s="2">
        <v>5</v>
      </c>
      <c r="R15" s="2">
        <v>4</v>
      </c>
      <c r="S15" s="2">
        <v>5</v>
      </c>
      <c r="T15" s="3">
        <f t="shared" si="0"/>
        <v>4.4000000000000004</v>
      </c>
      <c r="U15" s="3">
        <f t="shared" si="1"/>
        <v>3.6</v>
      </c>
      <c r="V15" s="3">
        <f t="shared" si="2"/>
        <v>4.666666666666667</v>
      </c>
      <c r="W15" s="3">
        <f t="shared" si="3"/>
        <v>4.2222222222222223</v>
      </c>
      <c r="X15" s="2" t="str">
        <f t="shared" si="4"/>
        <v>Sangat Setuju</v>
      </c>
    </row>
    <row r="16" spans="1:24">
      <c r="A16" s="2">
        <v>15</v>
      </c>
      <c r="B16" s="2" t="s">
        <v>67</v>
      </c>
      <c r="C16" s="2" t="s">
        <v>63</v>
      </c>
      <c r="D16" s="2" t="s">
        <v>47</v>
      </c>
      <c r="E16" s="2" t="s">
        <v>48</v>
      </c>
      <c r="F16" s="2" t="s">
        <v>53</v>
      </c>
      <c r="G16" s="2">
        <v>5</v>
      </c>
      <c r="H16" s="2">
        <v>5</v>
      </c>
      <c r="I16" s="2">
        <v>5</v>
      </c>
      <c r="J16" s="2">
        <v>4</v>
      </c>
      <c r="K16" s="2">
        <v>4</v>
      </c>
      <c r="L16" s="2">
        <v>5</v>
      </c>
      <c r="M16" s="2">
        <v>5</v>
      </c>
      <c r="N16" s="2">
        <v>4</v>
      </c>
      <c r="O16" s="2">
        <v>4</v>
      </c>
      <c r="P16" s="2">
        <v>5</v>
      </c>
      <c r="Q16" s="2">
        <v>5</v>
      </c>
      <c r="R16" s="2">
        <v>5</v>
      </c>
      <c r="S16" s="2">
        <v>5</v>
      </c>
      <c r="T16" s="3">
        <f t="shared" si="0"/>
        <v>4.5999999999999996</v>
      </c>
      <c r="U16" s="3">
        <f t="shared" si="1"/>
        <v>4.5999999999999996</v>
      </c>
      <c r="V16" s="3">
        <f t="shared" si="2"/>
        <v>5</v>
      </c>
      <c r="W16" s="3">
        <f t="shared" si="3"/>
        <v>4.7333333333333334</v>
      </c>
      <c r="X16" s="2" t="str">
        <f t="shared" si="4"/>
        <v>Sangat Setuju</v>
      </c>
    </row>
    <row r="17" spans="1:24">
      <c r="A17" s="2">
        <v>16</v>
      </c>
      <c r="B17" s="2" t="s">
        <v>68</v>
      </c>
      <c r="C17" s="2" t="s">
        <v>69</v>
      </c>
      <c r="D17" s="2" t="s">
        <v>47</v>
      </c>
      <c r="E17" s="2" t="s">
        <v>48</v>
      </c>
      <c r="F17" s="2" t="s">
        <v>49</v>
      </c>
      <c r="G17" s="2">
        <v>4</v>
      </c>
      <c r="H17" s="2">
        <v>4</v>
      </c>
      <c r="I17" s="2">
        <v>5</v>
      </c>
      <c r="J17" s="2">
        <v>4</v>
      </c>
      <c r="K17" s="2">
        <v>4</v>
      </c>
      <c r="L17" s="2">
        <v>4</v>
      </c>
      <c r="M17" s="2">
        <v>5</v>
      </c>
      <c r="N17" s="2">
        <v>3</v>
      </c>
      <c r="O17" s="2">
        <v>5</v>
      </c>
      <c r="P17" s="2">
        <v>5</v>
      </c>
      <c r="Q17" s="2">
        <v>4</v>
      </c>
      <c r="R17" s="2">
        <v>4</v>
      </c>
      <c r="S17" s="2">
        <v>5</v>
      </c>
      <c r="T17" s="3">
        <f t="shared" si="0"/>
        <v>4.2</v>
      </c>
      <c r="U17" s="3">
        <f t="shared" si="1"/>
        <v>4.4000000000000004</v>
      </c>
      <c r="V17" s="3">
        <f t="shared" si="2"/>
        <v>4.333333333333333</v>
      </c>
      <c r="W17" s="3">
        <f t="shared" si="3"/>
        <v>4.3111111111111109</v>
      </c>
      <c r="X17" s="2" t="str">
        <f t="shared" si="4"/>
        <v>Sangat Setuju</v>
      </c>
    </row>
    <row r="18" spans="1:24">
      <c r="A18" s="2">
        <v>17</v>
      </c>
      <c r="B18" s="2" t="s">
        <v>70</v>
      </c>
      <c r="C18" s="2" t="s">
        <v>69</v>
      </c>
      <c r="D18" s="2" t="s">
        <v>47</v>
      </c>
      <c r="E18" s="2" t="s">
        <v>48</v>
      </c>
      <c r="F18" s="2" t="s">
        <v>49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3">
        <f t="shared" si="0"/>
        <v>5</v>
      </c>
      <c r="U18" s="3">
        <f t="shared" si="1"/>
        <v>5</v>
      </c>
      <c r="V18" s="3">
        <f t="shared" si="2"/>
        <v>5</v>
      </c>
      <c r="W18" s="3">
        <f t="shared" si="3"/>
        <v>5</v>
      </c>
      <c r="X18" s="2" t="str">
        <f t="shared" si="4"/>
        <v>Sangat Setuju</v>
      </c>
    </row>
    <row r="19" spans="1:24">
      <c r="A19" s="2">
        <v>18</v>
      </c>
      <c r="B19" s="2" t="s">
        <v>71</v>
      </c>
      <c r="C19" s="2" t="s">
        <v>69</v>
      </c>
      <c r="D19" s="2" t="s">
        <v>47</v>
      </c>
      <c r="E19" s="2" t="s">
        <v>48</v>
      </c>
      <c r="F19" s="2" t="s">
        <v>53</v>
      </c>
      <c r="G19" s="2">
        <v>4</v>
      </c>
      <c r="H19" s="2">
        <v>5</v>
      </c>
      <c r="I19" s="2">
        <v>4</v>
      </c>
      <c r="J19" s="2">
        <v>3</v>
      </c>
      <c r="K19" s="2">
        <v>3</v>
      </c>
      <c r="L19" s="2">
        <v>5</v>
      </c>
      <c r="M19" s="2">
        <v>5</v>
      </c>
      <c r="N19" s="2">
        <v>5</v>
      </c>
      <c r="O19" s="2">
        <v>4</v>
      </c>
      <c r="P19" s="2">
        <v>4</v>
      </c>
      <c r="Q19" s="2">
        <v>4</v>
      </c>
      <c r="R19" s="2">
        <v>5</v>
      </c>
      <c r="S19" s="2">
        <v>5</v>
      </c>
      <c r="T19" s="3">
        <f t="shared" si="0"/>
        <v>3.8</v>
      </c>
      <c r="U19" s="3">
        <f t="shared" si="1"/>
        <v>4.5999999999999996</v>
      </c>
      <c r="V19" s="3">
        <f t="shared" si="2"/>
        <v>4.666666666666667</v>
      </c>
      <c r="W19" s="3">
        <f t="shared" si="3"/>
        <v>4.3555555555555552</v>
      </c>
      <c r="X19" s="2" t="str">
        <f t="shared" si="4"/>
        <v>Sangat Setuju</v>
      </c>
    </row>
    <row r="20" spans="1:24">
      <c r="A20" s="2">
        <v>19</v>
      </c>
      <c r="B20" s="2" t="s">
        <v>72</v>
      </c>
      <c r="C20" s="2" t="s">
        <v>69</v>
      </c>
      <c r="D20" s="2" t="s">
        <v>47</v>
      </c>
      <c r="E20" s="2" t="s">
        <v>48</v>
      </c>
      <c r="F20" s="2" t="s">
        <v>51</v>
      </c>
      <c r="G20" s="2">
        <v>4</v>
      </c>
      <c r="H20" s="2">
        <v>3</v>
      </c>
      <c r="I20" s="2">
        <v>4</v>
      </c>
      <c r="J20" s="2">
        <v>5</v>
      </c>
      <c r="K20" s="2">
        <v>4</v>
      </c>
      <c r="L20" s="2">
        <v>5</v>
      </c>
      <c r="M20" s="2">
        <v>4</v>
      </c>
      <c r="N20" s="2">
        <v>4</v>
      </c>
      <c r="O20" s="2">
        <v>5</v>
      </c>
      <c r="P20" s="2">
        <v>5</v>
      </c>
      <c r="Q20" s="2">
        <v>5</v>
      </c>
      <c r="R20" s="2">
        <v>4</v>
      </c>
      <c r="S20" s="2">
        <v>5</v>
      </c>
      <c r="T20" s="3">
        <f t="shared" si="0"/>
        <v>4</v>
      </c>
      <c r="U20" s="3">
        <f t="shared" si="1"/>
        <v>4.5999999999999996</v>
      </c>
      <c r="V20" s="3">
        <f t="shared" si="2"/>
        <v>4.666666666666667</v>
      </c>
      <c r="W20" s="3">
        <f t="shared" si="3"/>
        <v>4.4222222222222216</v>
      </c>
      <c r="X20" s="2" t="str">
        <f t="shared" si="4"/>
        <v>Sangat Setuju</v>
      </c>
    </row>
    <row r="21" spans="1:24">
      <c r="A21" s="2">
        <v>20</v>
      </c>
      <c r="B21" s="2" t="s">
        <v>73</v>
      </c>
      <c r="C21" s="2" t="s">
        <v>69</v>
      </c>
      <c r="D21" s="2" t="s">
        <v>47</v>
      </c>
      <c r="E21" s="2" t="s">
        <v>48</v>
      </c>
      <c r="F21" s="2" t="s">
        <v>51</v>
      </c>
      <c r="G21" s="2">
        <v>5</v>
      </c>
      <c r="H21" s="2">
        <v>4</v>
      </c>
      <c r="I21" s="2">
        <v>4</v>
      </c>
      <c r="J21" s="2">
        <v>4</v>
      </c>
      <c r="K21" s="2">
        <v>5</v>
      </c>
      <c r="L21" s="2">
        <v>4</v>
      </c>
      <c r="M21" s="2">
        <v>5</v>
      </c>
      <c r="N21" s="2">
        <v>4</v>
      </c>
      <c r="O21" s="2">
        <v>4</v>
      </c>
      <c r="P21" s="2">
        <v>5</v>
      </c>
      <c r="Q21" s="2">
        <v>5</v>
      </c>
      <c r="R21" s="2">
        <v>5</v>
      </c>
      <c r="S21" s="2">
        <v>3</v>
      </c>
      <c r="T21" s="3">
        <f t="shared" si="0"/>
        <v>4.4000000000000004</v>
      </c>
      <c r="U21" s="3">
        <f t="shared" si="1"/>
        <v>4.4000000000000004</v>
      </c>
      <c r="V21" s="3">
        <f t="shared" si="2"/>
        <v>4.333333333333333</v>
      </c>
      <c r="W21" s="3">
        <f t="shared" si="3"/>
        <v>4.3777777777777773</v>
      </c>
      <c r="X21" s="2" t="str">
        <f t="shared" si="4"/>
        <v>Sangat Setuju</v>
      </c>
    </row>
    <row r="22" spans="1:24">
      <c r="A22" s="2">
        <v>21</v>
      </c>
      <c r="B22" s="2" t="s">
        <v>74</v>
      </c>
      <c r="C22" s="2" t="s">
        <v>75</v>
      </c>
      <c r="D22" s="2" t="s">
        <v>47</v>
      </c>
      <c r="E22" s="2" t="s">
        <v>48</v>
      </c>
      <c r="F22" s="2" t="s">
        <v>53</v>
      </c>
      <c r="G22" s="2">
        <v>4</v>
      </c>
      <c r="H22" s="2">
        <v>5</v>
      </c>
      <c r="I22" s="2">
        <v>5</v>
      </c>
      <c r="J22" s="2">
        <v>5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5</v>
      </c>
      <c r="Q22" s="2">
        <v>5</v>
      </c>
      <c r="R22" s="2">
        <v>5</v>
      </c>
      <c r="S22" s="2">
        <v>4</v>
      </c>
      <c r="T22" s="3">
        <f t="shared" si="0"/>
        <v>4.5999999999999996</v>
      </c>
      <c r="U22" s="3">
        <f t="shared" si="1"/>
        <v>4.2</v>
      </c>
      <c r="V22" s="3">
        <f t="shared" si="2"/>
        <v>4.666666666666667</v>
      </c>
      <c r="W22" s="3">
        <f t="shared" si="3"/>
        <v>4.4888888888888898</v>
      </c>
      <c r="X22" s="2" t="str">
        <f t="shared" si="4"/>
        <v>Sangat Setuju</v>
      </c>
    </row>
    <row r="23" spans="1:24">
      <c r="A23" s="2">
        <v>22</v>
      </c>
      <c r="B23" s="2" t="s">
        <v>76</v>
      </c>
      <c r="C23" s="2" t="s">
        <v>75</v>
      </c>
      <c r="D23" s="2" t="s">
        <v>47</v>
      </c>
      <c r="E23" s="2" t="s">
        <v>48</v>
      </c>
      <c r="F23" s="2" t="s">
        <v>49</v>
      </c>
      <c r="G23" s="2">
        <v>5</v>
      </c>
      <c r="H23" s="2">
        <v>5</v>
      </c>
      <c r="I23" s="2">
        <v>5</v>
      </c>
      <c r="J23" s="2">
        <v>4</v>
      </c>
      <c r="K23" s="2">
        <v>4</v>
      </c>
      <c r="L23" s="2">
        <v>5</v>
      </c>
      <c r="M23" s="2">
        <v>5</v>
      </c>
      <c r="N23" s="2">
        <v>5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3">
        <f t="shared" si="0"/>
        <v>4.5999999999999996</v>
      </c>
      <c r="U23" s="3">
        <f t="shared" si="1"/>
        <v>4.5999999999999996</v>
      </c>
      <c r="V23" s="3">
        <f t="shared" si="2"/>
        <v>4</v>
      </c>
      <c r="W23" s="3">
        <f t="shared" si="3"/>
        <v>4.3999999999999995</v>
      </c>
      <c r="X23" s="2" t="str">
        <f t="shared" si="4"/>
        <v>Sangat Setuju</v>
      </c>
    </row>
    <row r="24" spans="1:24">
      <c r="A24" s="2">
        <v>23</v>
      </c>
      <c r="B24" s="2" t="s">
        <v>77</v>
      </c>
      <c r="C24" s="2" t="s">
        <v>75</v>
      </c>
      <c r="D24" s="2" t="s">
        <v>47</v>
      </c>
      <c r="E24" s="2" t="s">
        <v>48</v>
      </c>
      <c r="F24" s="2" t="s">
        <v>49</v>
      </c>
      <c r="G24" s="2">
        <v>4</v>
      </c>
      <c r="H24" s="2">
        <v>4</v>
      </c>
      <c r="I24" s="2">
        <v>5</v>
      </c>
      <c r="J24" s="2">
        <v>4</v>
      </c>
      <c r="K24" s="2">
        <v>4</v>
      </c>
      <c r="L24" s="2">
        <v>5</v>
      </c>
      <c r="M24" s="2">
        <v>5</v>
      </c>
      <c r="N24" s="2">
        <v>4</v>
      </c>
      <c r="O24" s="2">
        <v>5</v>
      </c>
      <c r="P24" s="2">
        <v>5</v>
      </c>
      <c r="Q24" s="2">
        <v>4</v>
      </c>
      <c r="R24" s="2">
        <v>5</v>
      </c>
      <c r="S24" s="2">
        <v>4</v>
      </c>
      <c r="T24" s="3">
        <f t="shared" si="0"/>
        <v>4.2</v>
      </c>
      <c r="U24" s="3">
        <f t="shared" si="1"/>
        <v>4.8</v>
      </c>
      <c r="V24" s="3">
        <f t="shared" si="2"/>
        <v>4.333333333333333</v>
      </c>
      <c r="W24" s="3">
        <f t="shared" si="3"/>
        <v>4.4444444444444438</v>
      </c>
      <c r="X24" s="2" t="str">
        <f t="shared" si="4"/>
        <v>Sangat Setuju</v>
      </c>
    </row>
    <row r="25" spans="1:24">
      <c r="A25" s="2">
        <v>24</v>
      </c>
      <c r="B25" s="2" t="s">
        <v>78</v>
      </c>
      <c r="C25" s="2" t="s">
        <v>75</v>
      </c>
      <c r="D25" s="2" t="s">
        <v>47</v>
      </c>
      <c r="E25" s="2" t="s">
        <v>48</v>
      </c>
      <c r="F25" s="2" t="s">
        <v>53</v>
      </c>
      <c r="G25" s="2">
        <v>4</v>
      </c>
      <c r="H25" s="2">
        <v>5</v>
      </c>
      <c r="I25" s="2">
        <v>5</v>
      </c>
      <c r="J25" s="2">
        <v>5</v>
      </c>
      <c r="K25" s="2">
        <v>5</v>
      </c>
      <c r="L25" s="2">
        <v>4</v>
      </c>
      <c r="M25" s="2">
        <v>3</v>
      </c>
      <c r="N25" s="2">
        <v>5</v>
      </c>
      <c r="O25" s="2">
        <v>4</v>
      </c>
      <c r="P25" s="2">
        <v>5</v>
      </c>
      <c r="Q25" s="2">
        <v>3</v>
      </c>
      <c r="R25" s="2">
        <v>4</v>
      </c>
      <c r="S25" s="2">
        <v>4</v>
      </c>
      <c r="T25" s="3">
        <f t="shared" si="0"/>
        <v>4.8</v>
      </c>
      <c r="U25" s="3">
        <f t="shared" si="1"/>
        <v>4.2</v>
      </c>
      <c r="V25" s="3">
        <f t="shared" si="2"/>
        <v>3.6666666666666665</v>
      </c>
      <c r="W25" s="3">
        <f t="shared" si="3"/>
        <v>4.2222222222222223</v>
      </c>
      <c r="X25" s="2" t="str">
        <f t="shared" si="4"/>
        <v>Sangat Setuju</v>
      </c>
    </row>
    <row r="26" spans="1:24">
      <c r="A26" s="2">
        <v>25</v>
      </c>
      <c r="B26" s="2" t="s">
        <v>58</v>
      </c>
      <c r="C26" s="2" t="s">
        <v>57</v>
      </c>
      <c r="D26" s="2" t="s">
        <v>47</v>
      </c>
      <c r="E26" s="2" t="s">
        <v>48</v>
      </c>
      <c r="F26" s="2" t="s">
        <v>53</v>
      </c>
      <c r="G26" s="2">
        <v>4</v>
      </c>
      <c r="H26" s="2">
        <v>4</v>
      </c>
      <c r="I26" s="2">
        <v>4</v>
      </c>
      <c r="J26" s="2">
        <v>5</v>
      </c>
      <c r="K26" s="2">
        <v>4</v>
      </c>
      <c r="L26" s="2">
        <v>4</v>
      </c>
      <c r="M26" s="2">
        <v>4</v>
      </c>
      <c r="N26" s="2">
        <v>3</v>
      </c>
      <c r="O26" s="2">
        <v>4</v>
      </c>
      <c r="P26" s="2">
        <v>3</v>
      </c>
      <c r="Q26" s="2">
        <v>5</v>
      </c>
      <c r="R26" s="2">
        <v>4</v>
      </c>
      <c r="S26" s="2">
        <v>4</v>
      </c>
      <c r="T26" s="3">
        <f>AVERAGE(G26:K26)</f>
        <v>4.2</v>
      </c>
      <c r="U26" s="3">
        <f>AVERAGE(L26:P26)</f>
        <v>3.6</v>
      </c>
      <c r="V26" s="3">
        <f>AVERAGE(Q26:S26)</f>
        <v>4.333333333333333</v>
      </c>
      <c r="W26" s="3">
        <f>AVERAGE(T26:V26)</f>
        <v>4.0444444444444443</v>
      </c>
      <c r="X26" s="2" t="str">
        <f>IF(W26&gt;=4.21,"Sangat Setuju",IF(W26&gt;=3.41,"Setuju",IF(W26&gt;=2.61,"Netral",IF(W26&gt;=1.81,"Tidak Setuju","Sangat Tidak Setuju"))))</f>
        <v>Setuju</v>
      </c>
    </row>
  </sheetData>
  <conditionalFormatting sqref="G2:S26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T2:W26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4">
    <dataValidation type="list" sqref="C2:C25 C26" xr:uid="{00000000-0002-0000-0100-000000000000}">
      <formula1>"Grup 1,Grup 2,Grup 3,Grup 4,Grup 5"</formula1>
    </dataValidation>
    <dataValidation type="list" sqref="D2:D25 D26" xr:uid="{00000000-0002-0000-0100-000001000000}">
      <formula1>"Laki-laki,Perempuan"</formula1>
    </dataValidation>
    <dataValidation type="list" sqref="E2:E25 E26" xr:uid="{00000000-0002-0000-0100-000002000000}">
      <formula1>"&lt; 20 tahun,20-25 tahun,&gt; 25 tahun"</formula1>
    </dataValidation>
    <dataValidation type="list" sqref="G2:S25 G26:S26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3.8"/>
  <cols>
    <col min="1" max="5" width="18" customWidth="1"/>
  </cols>
  <sheetData>
    <row r="1" spans="1:5">
      <c r="A1" s="1" t="s">
        <v>2</v>
      </c>
      <c r="B1" s="1" t="s">
        <v>81</v>
      </c>
      <c r="C1" s="1" t="s">
        <v>82</v>
      </c>
      <c r="D1" s="1" t="s">
        <v>83</v>
      </c>
      <c r="E1" s="1" t="s">
        <v>11</v>
      </c>
    </row>
    <row r="2" spans="1:5">
      <c r="A2" t="s">
        <v>84</v>
      </c>
      <c r="B2" t="s">
        <v>27</v>
      </c>
      <c r="C2" s="4">
        <f>SUM(Data_Simulasi!G2:G26)</f>
        <v>109</v>
      </c>
      <c r="D2" s="4">
        <f t="shared" ref="D2:D14" si="0">C2/25</f>
        <v>4.3600000000000003</v>
      </c>
      <c r="E2" t="str">
        <f t="shared" ref="E2:E14" si="1">IF(D2&gt;=4.21,"Sangat Setuju",IF(D2&gt;=3.41,"Setuju",IF(D2&gt;=2.61,"Netral",IF(D2&gt;=1.81,"Tidak Setuju","Sangat Tidak Setuju"))))</f>
        <v>Sangat Setuju</v>
      </c>
    </row>
    <row r="3" spans="1:5">
      <c r="A3" t="s">
        <v>84</v>
      </c>
      <c r="B3" t="s">
        <v>28</v>
      </c>
      <c r="C3" s="4">
        <f>SUM(Data_Simulasi!H2:H26)</f>
        <v>113</v>
      </c>
      <c r="D3" s="4">
        <f t="shared" si="0"/>
        <v>4.5199999999999996</v>
      </c>
      <c r="E3" t="str">
        <f t="shared" si="1"/>
        <v>Sangat Setuju</v>
      </c>
    </row>
    <row r="4" spans="1:5">
      <c r="A4" t="s">
        <v>84</v>
      </c>
      <c r="B4" t="s">
        <v>29</v>
      </c>
      <c r="C4" s="4">
        <f>SUM(Data_Simulasi!I2:I26)</f>
        <v>113</v>
      </c>
      <c r="D4" s="4">
        <f t="shared" si="0"/>
        <v>4.5199999999999996</v>
      </c>
      <c r="E4" t="str">
        <f t="shared" si="1"/>
        <v>Sangat Setuju</v>
      </c>
    </row>
    <row r="5" spans="1:5">
      <c r="A5" t="s">
        <v>84</v>
      </c>
      <c r="B5" t="s">
        <v>30</v>
      </c>
      <c r="C5" s="4">
        <f>SUM(Data_Simulasi!J2:J26)</f>
        <v>109</v>
      </c>
      <c r="D5" s="4">
        <f t="shared" si="0"/>
        <v>4.3600000000000003</v>
      </c>
      <c r="E5" t="str">
        <f t="shared" si="1"/>
        <v>Sangat Setuju</v>
      </c>
    </row>
    <row r="6" spans="1:5">
      <c r="A6" t="s">
        <v>84</v>
      </c>
      <c r="B6" t="s">
        <v>31</v>
      </c>
      <c r="C6" s="4">
        <f>SUM(Data_Simulasi!K2:K26)</f>
        <v>111</v>
      </c>
      <c r="D6" s="4">
        <f t="shared" si="0"/>
        <v>4.4400000000000004</v>
      </c>
      <c r="E6" t="str">
        <f t="shared" si="1"/>
        <v>Sangat Setuju</v>
      </c>
    </row>
    <row r="7" spans="1:5">
      <c r="A7" t="s">
        <v>85</v>
      </c>
      <c r="B7" t="s">
        <v>32</v>
      </c>
      <c r="C7" s="4">
        <f>SUM(Data_Simulasi!L2:L26)</f>
        <v>113</v>
      </c>
      <c r="D7" s="4">
        <f t="shared" si="0"/>
        <v>4.5199999999999996</v>
      </c>
      <c r="E7" t="str">
        <f t="shared" si="1"/>
        <v>Sangat Setuju</v>
      </c>
    </row>
    <row r="8" spans="1:5">
      <c r="A8" t="s">
        <v>85</v>
      </c>
      <c r="B8" t="s">
        <v>33</v>
      </c>
      <c r="C8" s="4">
        <f>SUM(Data_Simulasi!M2:M26)</f>
        <v>113</v>
      </c>
      <c r="D8" s="4">
        <f t="shared" si="0"/>
        <v>4.5199999999999996</v>
      </c>
      <c r="E8" t="str">
        <f t="shared" si="1"/>
        <v>Sangat Setuju</v>
      </c>
    </row>
    <row r="9" spans="1:5">
      <c r="A9" t="s">
        <v>85</v>
      </c>
      <c r="B9" t="s">
        <v>34</v>
      </c>
      <c r="C9" s="4">
        <f>SUM(Data_Simulasi!N2:N26)</f>
        <v>107</v>
      </c>
      <c r="D9" s="4">
        <f t="shared" si="0"/>
        <v>4.28</v>
      </c>
      <c r="E9" t="str">
        <f t="shared" si="1"/>
        <v>Sangat Setuju</v>
      </c>
    </row>
    <row r="10" spans="1:5">
      <c r="A10" t="s">
        <v>85</v>
      </c>
      <c r="B10" t="s">
        <v>35</v>
      </c>
      <c r="C10" s="4">
        <f>SUM(Data_Simulasi!O2:O26)</f>
        <v>111</v>
      </c>
      <c r="D10" s="4">
        <f t="shared" si="0"/>
        <v>4.4400000000000004</v>
      </c>
      <c r="E10" t="str">
        <f t="shared" si="1"/>
        <v>Sangat Setuju</v>
      </c>
    </row>
    <row r="11" spans="1:5">
      <c r="A11" t="s">
        <v>85</v>
      </c>
      <c r="B11" t="s">
        <v>36</v>
      </c>
      <c r="C11" s="4">
        <f>SUM(Data_Simulasi!P2:P26)</f>
        <v>112</v>
      </c>
      <c r="D11" s="4">
        <f t="shared" si="0"/>
        <v>4.4800000000000004</v>
      </c>
      <c r="E11" t="str">
        <f t="shared" si="1"/>
        <v>Sangat Setuju</v>
      </c>
    </row>
    <row r="12" spans="1:5">
      <c r="A12" t="s">
        <v>86</v>
      </c>
      <c r="B12" t="s">
        <v>37</v>
      </c>
      <c r="C12" s="4">
        <f>SUM(Data_Simulasi!Q2:Q26)</f>
        <v>114</v>
      </c>
      <c r="D12" s="4">
        <f t="shared" si="0"/>
        <v>4.5599999999999996</v>
      </c>
      <c r="E12" t="str">
        <f t="shared" si="1"/>
        <v>Sangat Setuju</v>
      </c>
    </row>
    <row r="13" spans="1:5">
      <c r="A13" t="s">
        <v>86</v>
      </c>
      <c r="B13" t="s">
        <v>38</v>
      </c>
      <c r="C13" s="4">
        <f>SUM(Data_Simulasi!R2:R26)</f>
        <v>113</v>
      </c>
      <c r="D13" s="4">
        <f t="shared" si="0"/>
        <v>4.5199999999999996</v>
      </c>
      <c r="E13" t="str">
        <f t="shared" si="1"/>
        <v>Sangat Setuju</v>
      </c>
    </row>
    <row r="14" spans="1:5">
      <c r="A14" t="s">
        <v>86</v>
      </c>
      <c r="B14" t="s">
        <v>39</v>
      </c>
      <c r="C14" s="4">
        <f>SUM(Data_Simulasi!S2:S26)</f>
        <v>115</v>
      </c>
      <c r="D14" s="4">
        <f t="shared" si="0"/>
        <v>4.5999999999999996</v>
      </c>
      <c r="E14" t="str">
        <f t="shared" si="1"/>
        <v>Sangat Setuju</v>
      </c>
    </row>
  </sheetData>
  <conditionalFormatting sqref="D2:D14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sqref="A1:G1"/>
    </sheetView>
  </sheetViews>
  <sheetFormatPr defaultRowHeight="13.8"/>
  <cols>
    <col min="1" max="1" width="30" customWidth="1"/>
    <col min="2" max="2" width="14" customWidth="1"/>
    <col min="3" max="3" width="18" customWidth="1"/>
    <col min="4" max="4" width="28" customWidth="1"/>
  </cols>
  <sheetData>
    <row r="1" spans="1:7" ht="17.399999999999999">
      <c r="A1" s="6" t="s">
        <v>87</v>
      </c>
      <c r="B1" s="6"/>
      <c r="C1" s="6"/>
      <c r="D1" s="6"/>
      <c r="E1" s="6"/>
      <c r="F1" s="6"/>
      <c r="G1" s="6"/>
    </row>
    <row r="3" spans="1:7">
      <c r="A3" s="1" t="s">
        <v>88</v>
      </c>
      <c r="B3" s="1" t="s">
        <v>89</v>
      </c>
      <c r="C3" s="1" t="s">
        <v>90</v>
      </c>
      <c r="D3" s="2"/>
    </row>
    <row r="4" spans="1:7">
      <c r="A4" s="2" t="s">
        <v>47</v>
      </c>
      <c r="B4" s="2">
        <f>COUNTIF(Data_Simulasi!D2:D26,"Laki-laki")</f>
        <v>24</v>
      </c>
      <c r="C4" s="5">
        <f>B4/25</f>
        <v>0.96</v>
      </c>
      <c r="D4" s="2"/>
    </row>
    <row r="5" spans="1:7">
      <c r="A5" s="2" t="s">
        <v>80</v>
      </c>
      <c r="B5" s="2">
        <f>COUNTIF(Data_Simulasi!D2:D26,"Perempuan")</f>
        <v>1</v>
      </c>
      <c r="C5" s="5">
        <f>B5/25</f>
        <v>0.04</v>
      </c>
      <c r="D5" s="2"/>
    </row>
    <row r="6" spans="1:7">
      <c r="A6" s="2" t="s">
        <v>91</v>
      </c>
      <c r="B6" s="2">
        <f>COUNTIF(Data_Simulasi!E2:E26,"20-25 tahun")</f>
        <v>25</v>
      </c>
      <c r="C6" s="5">
        <f>B6/25</f>
        <v>1</v>
      </c>
      <c r="D6" s="2"/>
    </row>
    <row r="7" spans="1:7">
      <c r="A7" s="2" t="s">
        <v>92</v>
      </c>
      <c r="B7" s="2">
        <f>COUNTA(Data_Simulasi!B2:B26)</f>
        <v>25</v>
      </c>
      <c r="C7" s="5">
        <f>B7/25</f>
        <v>1</v>
      </c>
      <c r="D7" s="2"/>
    </row>
    <row r="8" spans="1:7">
      <c r="A8" s="2"/>
      <c r="B8" s="2"/>
      <c r="C8" s="2"/>
      <c r="D8" s="2"/>
    </row>
    <row r="9" spans="1:7">
      <c r="A9" s="1" t="s">
        <v>2</v>
      </c>
      <c r="B9" s="1" t="s">
        <v>83</v>
      </c>
      <c r="C9" s="1" t="s">
        <v>11</v>
      </c>
      <c r="D9" s="1" t="s">
        <v>93</v>
      </c>
    </row>
    <row r="10" spans="1:7">
      <c r="A10" s="2" t="s">
        <v>4</v>
      </c>
      <c r="B10" s="3">
        <f>4.43999999999999</f>
        <v>4.4399999999999897</v>
      </c>
      <c r="C10" s="2" t="str">
        <f>IF(B10&gt;=4.21,"Sangat Setuju",IF(B10&gt;=3.41,"Setuju",IF(B10&gt;=2.61,"Netral",IF(B10&gt;=1.81,"Tidak Setuju","Sangat Tidak Setuju"))))</f>
        <v>Sangat Setuju</v>
      </c>
      <c r="D10" s="2" t="s">
        <v>94</v>
      </c>
    </row>
    <row r="11" spans="1:7">
      <c r="A11" s="2" t="s">
        <v>5</v>
      </c>
      <c r="B11" s="3">
        <f>4.448</f>
        <v>4.4480000000000004</v>
      </c>
      <c r="C11" s="2" t="str">
        <f>IF(B11&gt;=4.21,"Sangat Setuju",IF(B11&gt;=3.41,"Setuju",IF(B11&gt;=2.61,"Netral",IF(B11&gt;=1.81,"Tidak Setuju","Sangat Tidak Setuju"))))</f>
        <v>Sangat Setuju</v>
      </c>
      <c r="D11" s="2" t="s">
        <v>95</v>
      </c>
    </row>
    <row r="12" spans="1:7">
      <c r="A12" s="2" t="s">
        <v>6</v>
      </c>
      <c r="B12" s="3">
        <f>4.56</f>
        <v>4.5599999999999996</v>
      </c>
      <c r="C12" s="2" t="str">
        <f>IF(B12&gt;=4.21,"Sangat Setuju",IF(B12&gt;=3.41,"Setuju",IF(B12&gt;=2.61,"Netral",IF(B12&gt;=1.81,"Tidak Setuju","Sangat Tidak Setuju"))))</f>
        <v>Sangat Setuju</v>
      </c>
      <c r="D12" s="2" t="s">
        <v>96</v>
      </c>
    </row>
    <row r="13" spans="1:7">
      <c r="A13" s="2" t="s">
        <v>97</v>
      </c>
      <c r="B13" s="3">
        <f>4.48266666666666</f>
        <v>4.4826666666666597</v>
      </c>
      <c r="C13" s="2" t="str">
        <f>IF(B13&gt;=4.21,"Sangat Setuju",IF(B13&gt;=3.41,"Setuju",IF(B13&gt;=2.61,"Netral",IF(B13&gt;=1.81,"Tidak Setuju","Sangat Tidak Setuju"))))</f>
        <v>Sangat Setuju</v>
      </c>
      <c r="D13" s="2" t="s">
        <v>98</v>
      </c>
    </row>
  </sheetData>
  <mergeCells count="1">
    <mergeCell ref="A1:G1"/>
  </mergeCells>
  <conditionalFormatting sqref="B10:B1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Data_Simulasi</vt:lpstr>
      <vt:lpstr>Rekap_Indikator</vt:lpstr>
      <vt:lpstr>Rekap_Konstruk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sadu</cp:lastModifiedBy>
  <dcterms:modified xsi:type="dcterms:W3CDTF">2026-05-13T06:03:30Z</dcterms:modified>
</cp:coreProperties>
</file>